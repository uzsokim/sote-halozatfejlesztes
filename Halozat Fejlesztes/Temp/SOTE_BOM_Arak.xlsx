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 Összesítő" sheetId="1" state="visible" r:id="rId3"/>
    <sheet name="Eszközárak (részletes)" sheetId="2" state="visible" r:id="rId4"/>
    <sheet name="9200L Licenc Upgrad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<sst xmlns="http://schemas.openxmlformats.org/spreadsheetml/2006/main" count="152" uniqueCount="136">
  <si>
    <t xml:space="preserve">SOTE Hálózatfejlesztés – Eszközbeszerzési BOM (tájékoztató árak, nettó EUR)</t>
  </si>
  <si>
    <t xml:space="preserve">Árak: közelítő listaár alapú nettó EUR (~30% kedvezmény + 3Y NBD SmartNet). Végleges árat Cisco Partner BOM adja. 1 USD ≈ 0.92 EUR feltételezve.</t>
  </si>
  <si>
    <t xml:space="preserve">Egységár EUR
(eszköz+3Y NBD)</t>
  </si>
  <si>
    <t xml:space="preserve">SDA #1</t>
  </si>
  <si>
    <t xml:space="preserve">SDA #2</t>
  </si>
  <si>
    <t xml:space="preserve">Routed Access</t>
  </si>
  <si>
    <t xml:space="preserve">#</t>
  </si>
  <si>
    <t xml:space="preserve">Tétel / leírás</t>
  </si>
  <si>
    <t xml:space="preserve">Egységár EUR
(+3Y NBD)</t>
  </si>
  <si>
    <t xml:space="preserve">db</t>
  </si>
  <si>
    <t xml:space="preserve">EUR összesen</t>
  </si>
  <si>
    <t xml:space="preserve">Megjegyzés</t>
  </si>
  <si>
    <t xml:space="preserve">▌ AKTÍV HÁLÓZATI ESZKÖZÖK</t>
  </si>
  <si>
    <t xml:space="preserve">Enterprise Core C9500-48Y4C</t>
  </si>
  <si>
    <t xml:space="preserve">BKT #1+#2, KKT #1+#2</t>
  </si>
  <si>
    <t xml:space="preserve">▌ OPTIKAI CSATOLÓK / DAC KÁBELEK</t>
  </si>
  <si>
    <t xml:space="preserve">L2 Border Device 9300X-12Y</t>
  </si>
  <si>
    <t xml:space="preserve">BKT + KKT; RA-nál nem szükséges</t>
  </si>
  <si>
    <t xml:space="preserve">IC Nexus 93180YC-FX3</t>
  </si>
  <si>
    <t xml:space="preserve">B52 IC#1+IC#2, KBE IC#1+IC#2</t>
  </si>
  <si>
    <t xml:space="preserve">Disztribúció SDA#1 – 9300X-12Y Stack (2 db/helyszín)</t>
  </si>
  <si>
    <t xml:space="preserve">25 helyszín × Stack pár</t>
  </si>
  <si>
    <t xml:space="preserve">Disztribúció SDA#2/RA – Dell S4112F-ON (2 db/helyszín)</t>
  </si>
  <si>
    <t xml:space="preserve">25 helyszín × VLT pár</t>
  </si>
  <si>
    <t xml:space="preserve">Internet Edge 9200L-24P-4X</t>
  </si>
  <si>
    <t xml:space="preserve">BKT + KKT</t>
  </si>
  <si>
    <t xml:space="preserve">OOB TSG C1100TG-1N24P32A</t>
  </si>
  <si>
    <t xml:space="preserve">BKT, KKT, B52, KBE</t>
  </si>
  <si>
    <t xml:space="preserve">OOB Tűzfal FortiGate 80F</t>
  </si>
  <si>
    <t xml:space="preserve">Catalyst Center DN2-HW-APL (3 node)</t>
  </si>
  <si>
    <t xml:space="preserve">3 db HA cluster; RA-nál nem szükséges</t>
  </si>
  <si>
    <t xml:space="preserve">▌ LICENCEK</t>
  </si>
  <si>
    <t xml:space="preserve">Catalyst Center Advantage licenc (managed device/év × 5év)</t>
  </si>
  <si>
    <t xml:space="preserve">~150 eszköz × 5 év; RA-nál nem kötelező</t>
  </si>
  <si>
    <t xml:space="preserve">9200L DNA Essential→Advantage upgrade (3Y, db)</t>
  </si>
  <si>
    <t xml:space="preserve">SGACL/TrustSec minden variánsban szükséges</t>
  </si>
  <si>
    <t xml:space="preserve">QSFP-40G-SR4</t>
  </si>
  <si>
    <t xml:space="preserve">EC+IC+Forti+DC Nexus portjai</t>
  </si>
  <si>
    <t xml:space="preserve">QSFP-40G-LR4</t>
  </si>
  <si>
    <t xml:space="preserve">IC inter-site full mesh (4 IC × 2)</t>
  </si>
  <si>
    <t xml:space="preserve">SFP-10G-LR</t>
  </si>
  <si>
    <t xml:space="preserve">Disztr uplink + IC Disztr portok (~50+50)</t>
  </si>
  <si>
    <t xml:space="preserve">SFP-10G-SR</t>
  </si>
  <si>
    <t xml:space="preserve">Minden 10G MMF link mindkét oldala; ~Access TBD</t>
  </si>
  <si>
    <t xml:space="preserve">SFP-1G-SX</t>
  </si>
  <si>
    <t xml:space="preserve">OOB TSG BKT↔B52, KKT↔KBE</t>
  </si>
  <si>
    <t xml:space="preserve">40G QSFP+ DAC kábel</t>
  </si>
  <si>
    <t xml:space="preserve">EC párban 4 + IC párban 4 kábel</t>
  </si>
  <si>
    <t xml:space="preserve">10G SFP+ DAC kábel</t>
  </si>
  <si>
    <t xml:space="preserve">SDA#1: Stack kábel; SDA#2/RA: 25 VLT pár × 2</t>
  </si>
  <si>
    <t xml:space="preserve">BECSÜLT TELJES NETTÓ ÖSSZEG (EUR)</t>
  </si>
  <si>
    <t xml:space="preserve">⚠  Megjegyzések: (1) Az árak tájékoztató jellegű nettó EUR becslések (~30% kedvezmény a Cisco GPL listaárból). (2) 3Y NBD = 3 éves Next Business Day SmartNet Support. (3) A Catalyst Center licenc per managed device/év díj – 150+ eszközre és 5 évre számítva. (4) A 9200L DNA Essential→Advantage upgrade SGACL/TrustSec funkcióhoz szükséges minden variánsban. (5) Az Access switch SFP-10G-SR mennyisége (~500 db) helyszíni felmérés alapján pontosítandó. (6) Az optikaicsatolók árai Cisco-kompatibilis (TAA) modulokra vonatkoznak; OEM Cisco ár 2-3× magasabb.</t>
  </si>
  <si>
    <t xml:space="preserve">SOTE Hálózatfejlesztés – Részletes eszközárak (tájékoztató nettó EUR, 2024-2025 GPL alapján)</t>
  </si>
  <si>
    <t xml:space="preserve">Eszköz / csatoló leírás</t>
  </si>
  <si>
    <t xml:space="preserve">Cisco PID (példa)</t>
  </si>
  <si>
    <t xml:space="preserve">Egységár EUR
(nettó ~)</t>
  </si>
  <si>
    <t xml:space="preserve">3Y NBD EUR
(nettó ~)</t>
  </si>
  <si>
    <t xml:space="preserve">Összesen EUR
(egység+3Y NBD)</t>
  </si>
  <si>
    <t xml:space="preserve">Megjegyzés / licensz tartalom</t>
  </si>
  <si>
    <t xml:space="preserve">▌ AKTÍV ESZKÖZÖK (egységár + 3Y NBD SmartNet)</t>
  </si>
  <si>
    <t xml:space="preserve">C9500-48Y4C-A</t>
  </si>
  <si>
    <t xml:space="preserve">DNA Advantage 48Y4C licenc benne; 48×25G + 4×100G QSFP28</t>
  </si>
  <si>
    <t xml:space="preserve">L2 Border Device – 9300X-12Y</t>
  </si>
  <si>
    <t xml:space="preserve">C9300X-12Y-A</t>
  </si>
  <si>
    <t xml:space="preserve">DNA Advantage licenc benne; 12×25G QSFP28</t>
  </si>
  <si>
    <t xml:space="preserve">C9300X-12Y-A ×2</t>
  </si>
  <si>
    <t xml:space="preserve">Stack pár (D1+D2); DNA Advantage; Stack kábel külön ~200 EUR/pár</t>
  </si>
  <si>
    <t xml:space="preserve">S4112F-ON ×2</t>
  </si>
  <si>
    <t xml:space="preserve">VLT pár (D1+D2); Layer 3 switch; 10G DAC kábel ~80 EUR/pár</t>
  </si>
  <si>
    <t xml:space="preserve">IC – Cisco Nexus 93180YC-FX3</t>
  </si>
  <si>
    <t xml:space="preserve">N9K-C93180YC-FX3</t>
  </si>
  <si>
    <t xml:space="preserve">48×10/25G SFP28 + 6×40/100G QSFP28; Nexus Advanced licenc</t>
  </si>
  <si>
    <t xml:space="preserve">Internet Edge – Catalyst 9200L-24P-4X</t>
  </si>
  <si>
    <t xml:space="preserve">C9200L-24P-4X-A</t>
  </si>
  <si>
    <t xml:space="preserve">DNA Advantage; 24×PoE + 4×10G SFP+</t>
  </si>
  <si>
    <t xml:space="preserve">OOB TSG – Cisco C1100TG-1N24P32A</t>
  </si>
  <si>
    <t xml:space="preserve">C1100TG-1N24P32A</t>
  </si>
  <si>
    <t xml:space="preserve">24×Console RS-232 + 32×RJ45 UTP; IOS-XE</t>
  </si>
  <si>
    <t xml:space="preserve">OOB Tűzfal – Fortinet FortiGate 80F</t>
  </si>
  <si>
    <t xml:space="preserve">FG-80F</t>
  </si>
  <si>
    <t xml:space="preserve">3Y UTM Bundle benne; LTE modem opció +200 EUR</t>
  </si>
  <si>
    <t xml:space="preserve">Catalyst Center – DN2-HW-APL (HA cluster, 3 db)</t>
  </si>
  <si>
    <t xml:space="preserve">DN2-HW-APL ×3</t>
  </si>
  <si>
    <t xml:space="preserve">Teljes 3 node HA cluster ára; Catalyst Center licenc külön</t>
  </si>
  <si>
    <t xml:space="preserve">Catalyst Center – Advantage licenc (per managed device/év)</t>
  </si>
  <si>
    <t xml:space="preserve">C9K-DNA-A</t>
  </si>
  <si>
    <t xml:space="preserve">Per managed network device/év; ~150+ eszközre vetítve</t>
  </si>
  <si>
    <t xml:space="preserve">DNA Advantage licenc upgrade – Catalyst 9200L (Essential → Advantage)</t>
  </si>
  <si>
    <t xml:space="preserve">C9200L-DNA-A-24-3Y</t>
  </si>
  <si>
    <t xml:space="preserve">3Y Advantage per 9200L-24 eszköz; SGACL/TrustSec szükséglethez; ~500 db 9200L esetén a teljes upgrade ~210 000 EUR</t>
  </si>
  <si>
    <t xml:space="preserve">SFP-10G-SR (MMF, LC duplex)</t>
  </si>
  <si>
    <t xml:space="preserve">SFP-10G-SR-S</t>
  </si>
  <si>
    <t xml:space="preserve">Cisco kompatibilis; OM3/OM4 ≤300m; 10GBASE-SR</t>
  </si>
  <si>
    <t xml:space="preserve">SFP-10G-LR (SMF, LC duplex)</t>
  </si>
  <si>
    <t xml:space="preserve">SFP-10G-LR-S</t>
  </si>
  <si>
    <t xml:space="preserve">Cisco kompatibilis; OS2 ≤10km; 10GBASE-LR</t>
  </si>
  <si>
    <t xml:space="preserve">SFP-1G-SX (MMF, LC duplex)</t>
  </si>
  <si>
    <t xml:space="preserve">GLC-SX-MMD</t>
  </si>
  <si>
    <t xml:space="preserve">Cisco OEM; OM1-OM3 ≤550m; 1000BASE-SX</t>
  </si>
  <si>
    <t xml:space="preserve">QSFP-40G-SR4 (40G MMF, MPO-LC)</t>
  </si>
  <si>
    <t xml:space="preserve">QSFP-40G-SR4-S</t>
  </si>
  <si>
    <t xml:space="preserve">Cisco kompatibilis; OM4 ≤150m; MPO connector; breakout kábel szükséges</t>
  </si>
  <si>
    <t xml:space="preserve">QSFP-40G-LR4 (40G SMF, LC duplex)</t>
  </si>
  <si>
    <t xml:space="preserve">QSFP-40G-LR4-S</t>
  </si>
  <si>
    <t xml:space="preserve">Cisco kompatibilis; OS2 ≤10km; 40GBASE-LR4; LC duplex</t>
  </si>
  <si>
    <t xml:space="preserve">40G QSFP+ DAC kábel (1m passív)</t>
  </si>
  <si>
    <t xml:space="preserve">QSFP-H40G-CU1M</t>
  </si>
  <si>
    <t xml:space="preserve">Cisco kompatibilis twinax; belső (rack/row): EC#1↔EC#2, IC#1↔IC#2</t>
  </si>
  <si>
    <t xml:space="preserve">10G SFP+ DAC kábel (1m passív)</t>
  </si>
  <si>
    <t xml:space="preserve">SFP-H10GB-CU1M</t>
  </si>
  <si>
    <t xml:space="preserve">Cisco kompatibilis twinax; D1↔D2 VLT peer-link</t>
  </si>
  <si>
    <t xml:space="preserve">Catalyst 9200L – DNA Essential → Advantage licenc upgrade kalkulátor (SGACL / TrustSec)</t>
  </si>
  <si>
    <t xml:space="preserve">Az SGACL-alapú (TrustSec) kliens-szegmentáció minden variánsban Cisco DNA Advantage licencet igényel a Catalyst 9200L és 9200 sorozatú eszközökön. Az alábbi kalkulátor segít megbecsülni a teljes licenc-upgrade költségét.</t>
  </si>
  <si>
    <t xml:space="preserve">Bemeneti adatok (kék = módosítható)</t>
  </si>
  <si>
    <t xml:space="preserve">9200L-24 eszközök száma (db)</t>
  </si>
  <si>
    <t xml:space="preserve">Tipikus 24-portos access switch</t>
  </si>
  <si>
    <t xml:space="preserve">9200L-48 eszközök száma (db)</t>
  </si>
  <si>
    <t xml:space="preserve">Tipikus 48-portos access switch</t>
  </si>
  <si>
    <t xml:space="preserve">9200 (standalone) eszközök száma (db)</t>
  </si>
  <si>
    <t xml:space="preserve">Ha van standalone 9200</t>
  </si>
  <si>
    <t xml:space="preserve">Licenc időtartam (év)</t>
  </si>
  <si>
    <t xml:space="preserve">3 vagy 5 év ajánlott</t>
  </si>
  <si>
    <t xml:space="preserve">Számítások</t>
  </si>
  <si>
    <t xml:space="preserve">9200L-24 Advantage upgrade egységár (EUR/db, 3Y)</t>
  </si>
  <si>
    <t xml:space="preserve">C9200L-DNA-A-24-3Y ár ~közelítő</t>
  </si>
  <si>
    <t xml:space="preserve">9200L-48 Advantage upgrade egységár (EUR/db, 3Y)</t>
  </si>
  <si>
    <t xml:space="preserve">C9200L-DNA-A-48-3Y ár ~közelítő</t>
  </si>
  <si>
    <t xml:space="preserve">9200 Advantage upgrade egységár (EUR/db, 3Y)</t>
  </si>
  <si>
    <t xml:space="preserve">C9200-DNA-A-24-3Y ár ~közelítő</t>
  </si>
  <si>
    <t xml:space="preserve">9200L-24 upgrade összesen (EUR)</t>
  </si>
  <si>
    <t xml:space="preserve">darab × egységár</t>
  </si>
  <si>
    <t xml:space="preserve">9200L-48 upgrade összesen (EUR)</t>
  </si>
  <si>
    <t xml:space="preserve">9200 upgrade összesen (EUR)</t>
  </si>
  <si>
    <t xml:space="preserve">TELJES LICENC UPGRADE KÖLTSÉG (EUR)</t>
  </si>
  <si>
    <t xml:space="preserve">összes switch upgrade összege</t>
  </si>
  <si>
    <t xml:space="preserve">ℹ  A kék számok módosíthatók. A kalkulátor automatikusan frissíti az összesítőt. Az egységárak ~30% partneri kedvezmény utáni nettó EUR becslések. Pontos árat a Cisco Partner adja CCW ajánlatban. A DNA Advantage tartalmazza: SGACL/TrustSec, ISE integráció, Encrypted Traffic Analytics, SD-Access fabric képesség (9300-as eszközökön).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</si>
</sst>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C55A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B3A6B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50505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FFF2CC"/>
        <bgColor rgb="FFE8F5E9"/>
      </patternFill>
    </fill>
    <fill>
      <patternFill patternType="solid">
        <fgColor rgb="FF0070C0"/>
        <bgColor rgb="FF008080"/>
      </patternFill>
    </fill>
    <fill>
      <patternFill patternType="solid">
        <fgColor rgb="FFC55A11"/>
        <bgColor rgb="FFED7D31"/>
      </patternFill>
    </fill>
    <fill>
      <patternFill patternType="solid">
        <fgColor rgb="FFD9D9D9"/>
        <bgColor rgb="FFDEEAF1"/>
      </patternFill>
    </fill>
    <fill>
      <patternFill patternType="solid">
        <fgColor rgb="FFFFFFFF"/>
        <bgColor rgb="FFE8F5E9"/>
      </patternFill>
    </fill>
    <fill>
      <patternFill patternType="solid">
        <fgColor rgb="FFE8F5E9"/>
        <bgColor rgb="FFDEEAF1"/>
      </patternFill>
    </fill>
    <fill>
      <patternFill patternType="solid">
        <fgColor rgb="FFDEEAF1"/>
        <bgColor rgb="FFE8F5E9"/>
      </patternFill>
    </fill>
    <fill>
      <patternFill patternType="solid">
        <fgColor rgb="FFED7D31"/>
        <bgColor rgb="FFFF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F5E9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1B3A6B"/>
      <rgbColor rgb="FF339966"/>
      <rgbColor rgb="FF003300"/>
      <rgbColor rgb="FF333300"/>
      <rgbColor rgb="FFC55A11"/>
      <rgbColor rgb="FF993366"/>
      <rgbColor rgb="FF333399"/>
      <rgbColor rgb="FF505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3" min="3" style="1" width="18"/>
    <col collapsed="false" customWidth="true" hidden="false" outlineLevel="0" max="4" min="4" style="1" width="8"/>
    <col collapsed="false" customWidth="true" hidden="false" outlineLevel="0" max="5" min="5" style="1" width="14"/>
    <col collapsed="false" customWidth="true" hidden="false" outlineLevel="0" max="6" min="6" style="1" width="8"/>
    <col collapsed="false" customWidth="true" hidden="false" outlineLevel="0" max="7" min="7" style="1" width="14"/>
    <col collapsed="false" customWidth="true" hidden="false" outlineLevel="0" max="8" min="8" style="1" width="8"/>
    <col collapsed="false" customWidth="true" hidden="false" outlineLevel="0" max="9" min="9" style="1" width="14"/>
    <col collapsed="false" customWidth="true" hidden="false" outlineLevel="0" max="10" min="10" style="1" width="50"/>
    <col collapsed="false" customWidth="true" hidden="false" outlineLevel="0" max="11" min="11" style="1" width="14"/>
    <col collapsed="false" customWidth="true" hidden="false" outlineLevel="0" max="12" min="12" style="1" width="36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9.5" hidden="false" customHeight="true" outlineLevel="0" collapsed="false">
      <c r="C3" s="4" t="s">
        <v>2</v>
      </c>
      <c r="D3" s="5" t="s">
        <v>3</v>
      </c>
      <c r="E3" s="5"/>
      <c r="F3" s="6" t="s">
        <v>4</v>
      </c>
      <c r="G3" s="6"/>
      <c r="H3" s="7" t="s">
        <v>5</v>
      </c>
      <c r="I3" s="7"/>
    </row>
    <row r="4" customFormat="false" ht="36" hidden="false" customHeight="true" outlineLevel="0" collapsed="false">
      <c r="A4" s="8" t="s">
        <v>6</v>
      </c>
      <c r="B4" s="8" t="s">
        <v>7</v>
      </c>
      <c r="C4" s="4" t="s">
        <v>8</v>
      </c>
      <c r="D4" s="8" t="s">
        <v>9</v>
      </c>
      <c r="E4" s="8" t="s">
        <v>10</v>
      </c>
      <c r="F4" s="4" t="s">
        <v>9</v>
      </c>
      <c r="G4" s="4" t="s">
        <v>10</v>
      </c>
      <c r="H4" s="9" t="s">
        <v>9</v>
      </c>
      <c r="I4" s="9" t="s">
        <v>10</v>
      </c>
      <c r="J4" s="10" t="s">
        <v>11</v>
      </c>
    </row>
    <row r="5" customFormat="false" ht="18" hidden="false" customHeight="true" outlineLevel="0" collapsed="false">
      <c r="A5" s="11" t="s">
        <v>12</v>
      </c>
      <c r="B5" s="11"/>
      <c r="C5" s="11"/>
      <c r="D5" s="11"/>
      <c r="E5" s="11"/>
      <c r="F5" s="11"/>
      <c r="G5" s="11"/>
      <c r="H5" s="11"/>
      <c r="I5" s="11"/>
      <c r="J5" s="11"/>
    </row>
    <row r="6" customFormat="false" ht="30" hidden="false" customHeight="true" outlineLevel="0" collapsed="false">
      <c r="A6" s="12" t="n">
        <v>1</v>
      </c>
      <c r="B6" s="13" t="s">
        <v>13</v>
      </c>
      <c r="C6" s="14" t="n">
        <v>32200</v>
      </c>
      <c r="D6" s="15" t="n">
        <v>4</v>
      </c>
      <c r="E6" s="16" t="n">
        <f aca="false">D6*C6</f>
        <v>128800</v>
      </c>
      <c r="F6" s="15" t="n">
        <v>4</v>
      </c>
      <c r="G6" s="16" t="n">
        <f aca="false">F6*C6</f>
        <v>128800</v>
      </c>
      <c r="H6" s="15" t="n">
        <v>4</v>
      </c>
      <c r="I6" s="16" t="n">
        <f aca="false">H6*C6</f>
        <v>128800</v>
      </c>
      <c r="J6" s="17" t="s">
        <v>14</v>
      </c>
    </row>
    <row r="7" customFormat="false" ht="18" hidden="false" customHeight="true" outlineLevel="0" collapsed="false">
      <c r="A7" s="18" t="s">
        <v>15</v>
      </c>
      <c r="B7" s="18"/>
      <c r="C7" s="18"/>
      <c r="D7" s="18"/>
      <c r="E7" s="18"/>
      <c r="F7" s="18"/>
      <c r="G7" s="18"/>
      <c r="H7" s="18"/>
      <c r="I7" s="18"/>
      <c r="J7" s="18"/>
    </row>
    <row r="8" customFormat="false" ht="30" hidden="false" customHeight="true" outlineLevel="0" collapsed="false">
      <c r="A8" s="12" t="n">
        <v>1</v>
      </c>
      <c r="B8" s="13" t="s">
        <v>16</v>
      </c>
      <c r="C8" s="14" t="n">
        <v>9800</v>
      </c>
      <c r="D8" s="15" t="n">
        <v>2</v>
      </c>
      <c r="E8" s="16" t="n">
        <f aca="false">D8*C8</f>
        <v>19600</v>
      </c>
      <c r="F8" s="15" t="n">
        <v>2</v>
      </c>
      <c r="G8" s="16" t="n">
        <f aca="false">F8*C8</f>
        <v>19600</v>
      </c>
      <c r="H8" s="15" t="n">
        <v>0</v>
      </c>
      <c r="I8" s="16" t="n">
        <f aca="false">H8*C8</f>
        <v>0</v>
      </c>
      <c r="J8" s="17" t="s">
        <v>17</v>
      </c>
    </row>
    <row r="9" customFormat="false" ht="30" hidden="false" customHeight="true" outlineLevel="0" collapsed="false">
      <c r="A9" s="19" t="n">
        <v>2</v>
      </c>
      <c r="B9" s="20" t="s">
        <v>18</v>
      </c>
      <c r="C9" s="21" t="n">
        <v>16100</v>
      </c>
      <c r="D9" s="22" t="n">
        <v>4</v>
      </c>
      <c r="E9" s="23" t="n">
        <f aca="false">D9*C9</f>
        <v>64400</v>
      </c>
      <c r="F9" s="22" t="n">
        <v>4</v>
      </c>
      <c r="G9" s="23" t="n">
        <f aca="false">F9*C9</f>
        <v>64400</v>
      </c>
      <c r="H9" s="22" t="n">
        <v>4</v>
      </c>
      <c r="I9" s="23" t="n">
        <f aca="false">H9*C9</f>
        <v>64400</v>
      </c>
      <c r="J9" s="24" t="s">
        <v>19</v>
      </c>
    </row>
    <row r="10" customFormat="false" ht="18" hidden="false" customHeight="true" outlineLevel="0" collapsed="false">
      <c r="A10" s="11" t="s">
        <v>12</v>
      </c>
      <c r="B10" s="11"/>
      <c r="C10" s="11"/>
      <c r="D10" s="11"/>
      <c r="E10" s="11"/>
      <c r="F10" s="11"/>
      <c r="G10" s="11"/>
      <c r="H10" s="11"/>
      <c r="I10" s="11"/>
      <c r="J10" s="11"/>
    </row>
    <row r="11" customFormat="false" ht="30" hidden="false" customHeight="true" outlineLevel="0" collapsed="false">
      <c r="A11" s="12" t="n">
        <v>1</v>
      </c>
      <c r="B11" s="13" t="s">
        <v>20</v>
      </c>
      <c r="C11" s="14" t="n">
        <v>19600</v>
      </c>
      <c r="D11" s="15" t="n">
        <v>25</v>
      </c>
      <c r="E11" s="16" t="n">
        <f aca="false">D11*C11</f>
        <v>490000</v>
      </c>
      <c r="F11" s="15" t="n">
        <v>0</v>
      </c>
      <c r="G11" s="16" t="n">
        <f aca="false">F11*C11</f>
        <v>0</v>
      </c>
      <c r="H11" s="15" t="n">
        <v>0</v>
      </c>
      <c r="I11" s="16" t="n">
        <f aca="false">H11*C11</f>
        <v>0</v>
      </c>
      <c r="J11" s="17" t="s">
        <v>21</v>
      </c>
    </row>
    <row r="12" customFormat="false" ht="30" hidden="false" customHeight="true" outlineLevel="0" collapsed="false">
      <c r="A12" s="25" t="n">
        <v>2</v>
      </c>
      <c r="B12" s="26" t="s">
        <v>22</v>
      </c>
      <c r="C12" s="27" t="n">
        <v>5980</v>
      </c>
      <c r="D12" s="28" t="n">
        <v>0</v>
      </c>
      <c r="E12" s="29" t="n">
        <f aca="false">D12*C12</f>
        <v>0</v>
      </c>
      <c r="F12" s="28" t="n">
        <v>25</v>
      </c>
      <c r="G12" s="29" t="n">
        <f aca="false">F12*C12</f>
        <v>149500</v>
      </c>
      <c r="H12" s="28" t="n">
        <v>25</v>
      </c>
      <c r="I12" s="29" t="n">
        <f aca="false">H12*C12</f>
        <v>149500</v>
      </c>
      <c r="J12" s="30" t="s">
        <v>23</v>
      </c>
    </row>
    <row r="13" customFormat="false" ht="18" hidden="false" customHeight="true" outlineLevel="0" collapsed="false">
      <c r="A13" s="18" t="s">
        <v>15</v>
      </c>
      <c r="B13" s="18"/>
      <c r="C13" s="18"/>
      <c r="D13" s="18"/>
      <c r="E13" s="18"/>
      <c r="F13" s="18"/>
      <c r="G13" s="18"/>
      <c r="H13" s="18"/>
      <c r="I13" s="18"/>
      <c r="J13" s="18"/>
    </row>
    <row r="14" customFormat="false" ht="30" hidden="false" customHeight="true" outlineLevel="0" collapsed="false">
      <c r="A14" s="12" t="n">
        <v>1</v>
      </c>
      <c r="B14" s="13" t="s">
        <v>24</v>
      </c>
      <c r="C14" s="14" t="n">
        <v>4370</v>
      </c>
      <c r="D14" s="15" t="n">
        <v>2</v>
      </c>
      <c r="E14" s="16" t="n">
        <f aca="false">D14*C14</f>
        <v>8740</v>
      </c>
      <c r="F14" s="15" t="n">
        <v>2</v>
      </c>
      <c r="G14" s="16" t="n">
        <f aca="false">F14*C14</f>
        <v>8740</v>
      </c>
      <c r="H14" s="15" t="n">
        <v>2</v>
      </c>
      <c r="I14" s="16" t="n">
        <f aca="false">H14*C14</f>
        <v>8740</v>
      </c>
      <c r="J14" s="17" t="s">
        <v>25</v>
      </c>
    </row>
    <row r="15" customFormat="false" ht="30" hidden="false" customHeight="true" outlineLevel="0" collapsed="false">
      <c r="A15" s="19" t="n">
        <v>2</v>
      </c>
      <c r="B15" s="20" t="s">
        <v>26</v>
      </c>
      <c r="C15" s="21" t="n">
        <v>2530</v>
      </c>
      <c r="D15" s="22" t="n">
        <v>4</v>
      </c>
      <c r="E15" s="23" t="n">
        <f aca="false">D15*C15</f>
        <v>10120</v>
      </c>
      <c r="F15" s="22" t="n">
        <v>4</v>
      </c>
      <c r="G15" s="23" t="n">
        <f aca="false">F15*C15</f>
        <v>10120</v>
      </c>
      <c r="H15" s="22" t="n">
        <v>4</v>
      </c>
      <c r="I15" s="23" t="n">
        <f aca="false">H15*C15</f>
        <v>10120</v>
      </c>
      <c r="J15" s="24" t="s">
        <v>27</v>
      </c>
    </row>
    <row r="16" customFormat="false" ht="30" hidden="false" customHeight="true" outlineLevel="0" collapsed="false">
      <c r="A16" s="12" t="n">
        <v>3</v>
      </c>
      <c r="B16" s="13" t="s">
        <v>28</v>
      </c>
      <c r="C16" s="14" t="n">
        <v>1265</v>
      </c>
      <c r="D16" s="15" t="n">
        <v>2</v>
      </c>
      <c r="E16" s="16" t="n">
        <f aca="false">D16*C16</f>
        <v>2530</v>
      </c>
      <c r="F16" s="15" t="n">
        <v>2</v>
      </c>
      <c r="G16" s="16" t="n">
        <f aca="false">F16*C16</f>
        <v>2530</v>
      </c>
      <c r="H16" s="15" t="n">
        <v>2</v>
      </c>
      <c r="I16" s="16" t="n">
        <f aca="false">H16*C16</f>
        <v>2530</v>
      </c>
      <c r="J16" s="17" t="s">
        <v>25</v>
      </c>
    </row>
    <row r="17" customFormat="false" ht="30" hidden="false" customHeight="true" outlineLevel="0" collapsed="false">
      <c r="A17" s="19" t="n">
        <v>4</v>
      </c>
      <c r="B17" s="20" t="s">
        <v>29</v>
      </c>
      <c r="C17" s="21" t="n">
        <v>48300</v>
      </c>
      <c r="D17" s="22" t="n">
        <v>1</v>
      </c>
      <c r="E17" s="23" t="n">
        <f aca="false">D17*C17</f>
        <v>48300</v>
      </c>
      <c r="F17" s="22" t="n">
        <v>1</v>
      </c>
      <c r="G17" s="23" t="n">
        <f aca="false">F17*C17</f>
        <v>48300</v>
      </c>
      <c r="H17" s="22" t="n">
        <v>0</v>
      </c>
      <c r="I17" s="23" t="n">
        <f aca="false">H17*C17</f>
        <v>0</v>
      </c>
      <c r="J17" s="24" t="s">
        <v>30</v>
      </c>
    </row>
    <row r="18" customFormat="false" ht="18" hidden="false" customHeight="true" outlineLevel="0" collapsed="false">
      <c r="A18" s="31" t="s">
        <v>31</v>
      </c>
      <c r="B18" s="31"/>
      <c r="C18" s="31"/>
      <c r="D18" s="31"/>
      <c r="E18" s="31"/>
      <c r="F18" s="31"/>
      <c r="G18" s="31"/>
      <c r="H18" s="31"/>
      <c r="I18" s="31"/>
      <c r="J18" s="31"/>
    </row>
    <row r="19" customFormat="false" ht="30" hidden="false" customHeight="true" outlineLevel="0" collapsed="false">
      <c r="A19" s="12" t="n">
        <v>1</v>
      </c>
      <c r="B19" s="13" t="s">
        <v>32</v>
      </c>
      <c r="C19" s="14" t="n">
        <v>180</v>
      </c>
      <c r="D19" s="15" t="n">
        <v>750</v>
      </c>
      <c r="E19" s="16" t="n">
        <f aca="false">D19*C19</f>
        <v>135000</v>
      </c>
      <c r="F19" s="15" t="n">
        <v>750</v>
      </c>
      <c r="G19" s="16" t="n">
        <f aca="false">F19*C19</f>
        <v>135000</v>
      </c>
      <c r="H19" s="15" t="n">
        <v>0</v>
      </c>
      <c r="I19" s="16" t="n">
        <f aca="false">H19*C19</f>
        <v>0</v>
      </c>
      <c r="J19" s="17" t="s">
        <v>33</v>
      </c>
    </row>
    <row r="20" customFormat="false" ht="30" hidden="false" customHeight="true" outlineLevel="0" collapsed="false">
      <c r="A20" s="32" t="n">
        <v>2</v>
      </c>
      <c r="B20" s="33" t="s">
        <v>34</v>
      </c>
      <c r="C20" s="34" t="n">
        <v>420</v>
      </c>
      <c r="D20" s="35" t="n">
        <v>500</v>
      </c>
      <c r="E20" s="36" t="n">
        <f aca="false">D20*C20</f>
        <v>210000</v>
      </c>
      <c r="F20" s="35" t="n">
        <v>500</v>
      </c>
      <c r="G20" s="36" t="n">
        <f aca="false">F20*C20</f>
        <v>210000</v>
      </c>
      <c r="H20" s="35" t="n">
        <v>500</v>
      </c>
      <c r="I20" s="36" t="n">
        <f aca="false">H20*C20</f>
        <v>210000</v>
      </c>
      <c r="J20" s="37" t="s">
        <v>35</v>
      </c>
    </row>
    <row r="21" customFormat="false" ht="18" hidden="false" customHeight="true" outlineLevel="0" collapsed="false">
      <c r="A21" s="18" t="s">
        <v>15</v>
      </c>
      <c r="B21" s="18"/>
      <c r="C21" s="18"/>
      <c r="D21" s="18"/>
      <c r="E21" s="18"/>
      <c r="F21" s="18"/>
      <c r="G21" s="18"/>
      <c r="H21" s="18"/>
      <c r="I21" s="18"/>
      <c r="J21" s="18"/>
    </row>
    <row r="22" customFormat="false" ht="30" hidden="false" customHeight="true" outlineLevel="0" collapsed="false">
      <c r="A22" s="12" t="n">
        <v>1</v>
      </c>
      <c r="B22" s="13" t="s">
        <v>36</v>
      </c>
      <c r="C22" s="14" t="n">
        <v>180</v>
      </c>
      <c r="D22" s="15" t="n">
        <v>40</v>
      </c>
      <c r="E22" s="16" t="n">
        <f aca="false">D22*C22</f>
        <v>7200</v>
      </c>
      <c r="F22" s="15" t="n">
        <v>40</v>
      </c>
      <c r="G22" s="16" t="n">
        <f aca="false">F22*C22</f>
        <v>7200</v>
      </c>
      <c r="H22" s="15" t="n">
        <v>40</v>
      </c>
      <c r="I22" s="16" t="n">
        <f aca="false">H22*C22</f>
        <v>7200</v>
      </c>
      <c r="J22" s="17" t="s">
        <v>37</v>
      </c>
    </row>
    <row r="23" customFormat="false" ht="30" hidden="false" customHeight="true" outlineLevel="0" collapsed="false">
      <c r="A23" s="19" t="n">
        <v>2</v>
      </c>
      <c r="B23" s="20" t="s">
        <v>38</v>
      </c>
      <c r="C23" s="21" t="n">
        <v>680</v>
      </c>
      <c r="D23" s="22" t="n">
        <v>8</v>
      </c>
      <c r="E23" s="23" t="n">
        <f aca="false">D23*C23</f>
        <v>5440</v>
      </c>
      <c r="F23" s="22" t="n">
        <v>8</v>
      </c>
      <c r="G23" s="23" t="n">
        <f aca="false">F23*C23</f>
        <v>5440</v>
      </c>
      <c r="H23" s="22" t="n">
        <v>8</v>
      </c>
      <c r="I23" s="23" t="n">
        <f aca="false">H23*C23</f>
        <v>5440</v>
      </c>
      <c r="J23" s="24" t="s">
        <v>39</v>
      </c>
    </row>
    <row r="24" customFormat="false" ht="30" hidden="false" customHeight="true" outlineLevel="0" collapsed="false">
      <c r="A24" s="12" t="n">
        <v>3</v>
      </c>
      <c r="B24" s="13" t="s">
        <v>40</v>
      </c>
      <c r="C24" s="14" t="n">
        <v>95</v>
      </c>
      <c r="D24" s="15" t="n">
        <v>100</v>
      </c>
      <c r="E24" s="16" t="n">
        <f aca="false">D24*C24</f>
        <v>9500</v>
      </c>
      <c r="F24" s="15" t="n">
        <v>100</v>
      </c>
      <c r="G24" s="16" t="n">
        <f aca="false">F24*C24</f>
        <v>9500</v>
      </c>
      <c r="H24" s="15" t="n">
        <v>100</v>
      </c>
      <c r="I24" s="16" t="n">
        <f aca="false">H24*C24</f>
        <v>9500</v>
      </c>
      <c r="J24" s="17" t="s">
        <v>41</v>
      </c>
    </row>
    <row r="25" customFormat="false" ht="30" hidden="false" customHeight="true" outlineLevel="0" collapsed="false">
      <c r="A25" s="19" t="n">
        <v>4</v>
      </c>
      <c r="B25" s="20" t="s">
        <v>42</v>
      </c>
      <c r="C25" s="21" t="n">
        <v>45</v>
      </c>
      <c r="D25" s="22" t="n">
        <v>1076</v>
      </c>
      <c r="E25" s="23" t="n">
        <f aca="false">D25*C25</f>
        <v>48420</v>
      </c>
      <c r="F25" s="22" t="n">
        <v>1076</v>
      </c>
      <c r="G25" s="23" t="n">
        <f aca="false">F25*C25</f>
        <v>48420</v>
      </c>
      <c r="H25" s="22" t="n">
        <v>1044</v>
      </c>
      <c r="I25" s="23" t="n">
        <f aca="false">H25*C25</f>
        <v>46980</v>
      </c>
      <c r="J25" s="24" t="s">
        <v>43</v>
      </c>
    </row>
    <row r="26" customFormat="false" ht="30" hidden="false" customHeight="true" outlineLevel="0" collapsed="false">
      <c r="A26" s="12" t="n">
        <v>5</v>
      </c>
      <c r="B26" s="13" t="s">
        <v>44</v>
      </c>
      <c r="C26" s="14" t="n">
        <v>28</v>
      </c>
      <c r="D26" s="15" t="n">
        <v>4</v>
      </c>
      <c r="E26" s="16" t="n">
        <f aca="false">D26*C26</f>
        <v>112</v>
      </c>
      <c r="F26" s="15" t="n">
        <v>4</v>
      </c>
      <c r="G26" s="16" t="n">
        <f aca="false">F26*C26</f>
        <v>112</v>
      </c>
      <c r="H26" s="15" t="n">
        <v>4</v>
      </c>
      <c r="I26" s="16" t="n">
        <f aca="false">H26*C26</f>
        <v>112</v>
      </c>
      <c r="J26" s="17" t="s">
        <v>45</v>
      </c>
    </row>
    <row r="27" customFormat="false" ht="30" hidden="false" customHeight="true" outlineLevel="0" collapsed="false">
      <c r="A27" s="19" t="n">
        <v>6</v>
      </c>
      <c r="B27" s="20" t="s">
        <v>46</v>
      </c>
      <c r="C27" s="21" t="n">
        <v>85</v>
      </c>
      <c r="D27" s="22" t="n">
        <v>8</v>
      </c>
      <c r="E27" s="23" t="n">
        <f aca="false">D27*C27</f>
        <v>680</v>
      </c>
      <c r="F27" s="22" t="n">
        <v>8</v>
      </c>
      <c r="G27" s="23" t="n">
        <f aca="false">F27*C27</f>
        <v>680</v>
      </c>
      <c r="H27" s="22" t="n">
        <v>8</v>
      </c>
      <c r="I27" s="23" t="n">
        <f aca="false">H27*C27</f>
        <v>680</v>
      </c>
      <c r="J27" s="24" t="s">
        <v>47</v>
      </c>
    </row>
    <row r="28" customFormat="false" ht="30" hidden="false" customHeight="true" outlineLevel="0" collapsed="false">
      <c r="A28" s="12" t="n">
        <v>7</v>
      </c>
      <c r="B28" s="13" t="s">
        <v>48</v>
      </c>
      <c r="C28" s="14" t="n">
        <v>35</v>
      </c>
      <c r="D28" s="15" t="n">
        <v>0</v>
      </c>
      <c r="E28" s="16" t="n">
        <f aca="false">D28*C28</f>
        <v>0</v>
      </c>
      <c r="F28" s="15" t="n">
        <v>50</v>
      </c>
      <c r="G28" s="16" t="n">
        <f aca="false">F28*C28</f>
        <v>1750</v>
      </c>
      <c r="H28" s="15" t="n">
        <v>50</v>
      </c>
      <c r="I28" s="16" t="n">
        <f aca="false">H28*C28</f>
        <v>1750</v>
      </c>
      <c r="J28" s="17" t="s">
        <v>49</v>
      </c>
    </row>
    <row r="29" customFormat="false" ht="21.75" hidden="false" customHeight="true" outlineLevel="0" collapsed="false">
      <c r="A29" s="38" t="s">
        <v>50</v>
      </c>
      <c r="B29" s="38"/>
      <c r="C29" s="38"/>
      <c r="E29" s="39" t="n">
        <f aca="false">SUMIF(E5:E28,"&lt;&gt;",E5:E28)</f>
        <v>1188842</v>
      </c>
      <c r="G29" s="39" t="n">
        <f aca="false">SUMIF(G5:G28,"&lt;&gt;",G5:G28)</f>
        <v>850092</v>
      </c>
      <c r="I29" s="40" t="n">
        <f aca="false">SUMIF(I5:I28,"&lt;&gt;",I5:I28)</f>
        <v>645752</v>
      </c>
    </row>
    <row r="31" customFormat="false" ht="79.5" hidden="false" customHeight="true" outlineLevel="0" collapsed="false">
      <c r="A31" s="41" t="s">
        <v>51</v>
      </c>
      <c r="B31" s="41"/>
      <c r="C31" s="41"/>
      <c r="D31" s="41"/>
      <c r="E31" s="41"/>
      <c r="F31" s="41"/>
      <c r="G31" s="41"/>
      <c r="H31" s="41"/>
      <c r="I31" s="41"/>
      <c r="J31" s="41"/>
    </row>
  </sheetData>
  <mergeCells count="13">
    <mergeCell ref="A1:L1"/>
    <mergeCell ref="A2:L2"/>
    <mergeCell ref="D3:E3"/>
    <mergeCell ref="F3:G3"/>
    <mergeCell ref="H3:I3"/>
    <mergeCell ref="A5:J5"/>
    <mergeCell ref="A7:J7"/>
    <mergeCell ref="A10:J10"/>
    <mergeCell ref="A13:J13"/>
    <mergeCell ref="A18:J18"/>
    <mergeCell ref="A21:J21"/>
    <mergeCell ref="A29:C29"/>
    <mergeCell ref="A31:J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22"/>
    <col collapsed="false" customWidth="true" hidden="false" outlineLevel="0" max="6" min="4" style="1" width="14"/>
    <col collapsed="false" customWidth="true" hidden="false" outlineLevel="0" max="7" min="7" style="1" width="45"/>
  </cols>
  <sheetData>
    <row r="1" customFormat="false" ht="25.5" hidden="false" customHeight="true" outlineLevel="0" collapsed="false">
      <c r="A1" s="42" t="s">
        <v>52</v>
      </c>
      <c r="B1" s="42"/>
      <c r="C1" s="42"/>
      <c r="D1" s="42"/>
      <c r="E1" s="42"/>
      <c r="F1" s="42"/>
      <c r="G1" s="42"/>
    </row>
    <row r="3" customFormat="false" ht="36" hidden="false" customHeight="true" outlineLevel="0" collapsed="false">
      <c r="A3" s="8" t="s">
        <v>6</v>
      </c>
      <c r="B3" s="8" t="s">
        <v>53</v>
      </c>
      <c r="C3" s="4" t="s">
        <v>54</v>
      </c>
      <c r="D3" s="8" t="s">
        <v>55</v>
      </c>
      <c r="E3" s="8" t="s">
        <v>56</v>
      </c>
      <c r="F3" s="8" t="s">
        <v>57</v>
      </c>
      <c r="G3" s="4" t="s">
        <v>58</v>
      </c>
    </row>
    <row r="4" customFormat="false" ht="18" hidden="false" customHeight="true" outlineLevel="0" collapsed="false">
      <c r="A4" s="11" t="s">
        <v>59</v>
      </c>
      <c r="B4" s="11"/>
      <c r="C4" s="11"/>
      <c r="D4" s="11"/>
      <c r="E4" s="11"/>
      <c r="F4" s="11"/>
      <c r="G4" s="11"/>
    </row>
    <row r="5" customFormat="false" ht="31.5" hidden="false" customHeight="true" outlineLevel="0" collapsed="false">
      <c r="A5" s="12" t="n">
        <v>1</v>
      </c>
      <c r="B5" s="13" t="s">
        <v>13</v>
      </c>
      <c r="C5" s="17" t="s">
        <v>60</v>
      </c>
      <c r="D5" s="14" t="n">
        <v>28000</v>
      </c>
      <c r="E5" s="14" t="n">
        <v>4200</v>
      </c>
      <c r="F5" s="43" t="n">
        <f aca="false">D5+E5</f>
        <v>32200</v>
      </c>
      <c r="G5" s="17" t="s">
        <v>61</v>
      </c>
    </row>
    <row r="6" customFormat="false" ht="31.5" hidden="false" customHeight="true" outlineLevel="0" collapsed="false">
      <c r="A6" s="25" t="n">
        <v>2</v>
      </c>
      <c r="B6" s="26" t="s">
        <v>62</v>
      </c>
      <c r="C6" s="30" t="s">
        <v>63</v>
      </c>
      <c r="D6" s="27" t="n">
        <v>8500</v>
      </c>
      <c r="E6" s="27" t="n">
        <v>1300</v>
      </c>
      <c r="F6" s="44" t="n">
        <f aca="false">D6+E6</f>
        <v>9800</v>
      </c>
      <c r="G6" s="30" t="s">
        <v>64</v>
      </c>
    </row>
    <row r="7" customFormat="false" ht="31.5" hidden="false" customHeight="true" outlineLevel="0" collapsed="false">
      <c r="A7" s="12" t="n">
        <v>3</v>
      </c>
      <c r="B7" s="13" t="s">
        <v>20</v>
      </c>
      <c r="C7" s="17" t="s">
        <v>65</v>
      </c>
      <c r="D7" s="14" t="n">
        <v>17000</v>
      </c>
      <c r="E7" s="14" t="n">
        <v>2600</v>
      </c>
      <c r="F7" s="43" t="n">
        <f aca="false">D7+E7</f>
        <v>19600</v>
      </c>
      <c r="G7" s="17" t="s">
        <v>66</v>
      </c>
    </row>
    <row r="8" customFormat="false" ht="31.5" hidden="false" customHeight="true" outlineLevel="0" collapsed="false">
      <c r="A8" s="25" t="n">
        <v>4</v>
      </c>
      <c r="B8" s="26" t="s">
        <v>22</v>
      </c>
      <c r="C8" s="30" t="s">
        <v>67</v>
      </c>
      <c r="D8" s="27" t="n">
        <v>5200</v>
      </c>
      <c r="E8" s="27" t="n">
        <v>780</v>
      </c>
      <c r="F8" s="44" t="n">
        <f aca="false">D8+E8</f>
        <v>5980</v>
      </c>
      <c r="G8" s="30" t="s">
        <v>68</v>
      </c>
    </row>
    <row r="9" customFormat="false" ht="31.5" hidden="false" customHeight="true" outlineLevel="0" collapsed="false">
      <c r="A9" s="12" t="n">
        <v>5</v>
      </c>
      <c r="B9" s="13" t="s">
        <v>69</v>
      </c>
      <c r="C9" s="17" t="s">
        <v>70</v>
      </c>
      <c r="D9" s="14" t="n">
        <v>14000</v>
      </c>
      <c r="E9" s="14" t="n">
        <v>2100</v>
      </c>
      <c r="F9" s="43" t="n">
        <f aca="false">D9+E9</f>
        <v>16100</v>
      </c>
      <c r="G9" s="17" t="s">
        <v>71</v>
      </c>
    </row>
    <row r="10" customFormat="false" ht="31.5" hidden="false" customHeight="true" outlineLevel="0" collapsed="false">
      <c r="A10" s="25" t="n">
        <v>6</v>
      </c>
      <c r="B10" s="26" t="s">
        <v>72</v>
      </c>
      <c r="C10" s="30" t="s">
        <v>73</v>
      </c>
      <c r="D10" s="27" t="n">
        <v>3800</v>
      </c>
      <c r="E10" s="27" t="n">
        <v>570</v>
      </c>
      <c r="F10" s="44" t="n">
        <f aca="false">D10+E10</f>
        <v>4370</v>
      </c>
      <c r="G10" s="30" t="s">
        <v>74</v>
      </c>
    </row>
    <row r="11" customFormat="false" ht="31.5" hidden="false" customHeight="true" outlineLevel="0" collapsed="false">
      <c r="A11" s="12" t="n">
        <v>7</v>
      </c>
      <c r="B11" s="13" t="s">
        <v>75</v>
      </c>
      <c r="C11" s="17" t="s">
        <v>76</v>
      </c>
      <c r="D11" s="14" t="n">
        <v>2200</v>
      </c>
      <c r="E11" s="14" t="n">
        <v>330</v>
      </c>
      <c r="F11" s="43" t="n">
        <f aca="false">D11+E11</f>
        <v>2530</v>
      </c>
      <c r="G11" s="17" t="s">
        <v>77</v>
      </c>
    </row>
    <row r="12" customFormat="false" ht="31.5" hidden="false" customHeight="true" outlineLevel="0" collapsed="false">
      <c r="A12" s="25" t="n">
        <v>8</v>
      </c>
      <c r="B12" s="26" t="s">
        <v>78</v>
      </c>
      <c r="C12" s="30" t="s">
        <v>79</v>
      </c>
      <c r="D12" s="27" t="n">
        <v>1100</v>
      </c>
      <c r="E12" s="27" t="n">
        <v>165</v>
      </c>
      <c r="F12" s="44" t="n">
        <f aca="false">D12+E12</f>
        <v>1265</v>
      </c>
      <c r="G12" s="30" t="s">
        <v>80</v>
      </c>
    </row>
    <row r="13" customFormat="false" ht="31.5" hidden="false" customHeight="true" outlineLevel="0" collapsed="false">
      <c r="A13" s="12" t="n">
        <v>9</v>
      </c>
      <c r="B13" s="13" t="s">
        <v>81</v>
      </c>
      <c r="C13" s="17" t="s">
        <v>82</v>
      </c>
      <c r="D13" s="14" t="n">
        <v>42000</v>
      </c>
      <c r="E13" s="14" t="n">
        <v>6300</v>
      </c>
      <c r="F13" s="43" t="n">
        <f aca="false">D13+E13</f>
        <v>48300</v>
      </c>
      <c r="G13" s="17" t="s">
        <v>83</v>
      </c>
    </row>
    <row r="14" customFormat="false" ht="18" hidden="false" customHeight="true" outlineLevel="0" collapsed="false">
      <c r="A14" s="31" t="s">
        <v>31</v>
      </c>
      <c r="B14" s="31"/>
      <c r="C14" s="31"/>
      <c r="D14" s="31"/>
      <c r="E14" s="31"/>
      <c r="F14" s="31"/>
      <c r="G14" s="31"/>
    </row>
    <row r="15" customFormat="false" ht="31.5" hidden="false" customHeight="true" outlineLevel="0" collapsed="false">
      <c r="A15" s="12" t="n">
        <v>1</v>
      </c>
      <c r="B15" s="13" t="s">
        <v>84</v>
      </c>
      <c r="C15" s="17" t="s">
        <v>85</v>
      </c>
      <c r="D15" s="14" t="n">
        <v>180</v>
      </c>
      <c r="E15" s="14" t="n">
        <v>0</v>
      </c>
      <c r="F15" s="43" t="n">
        <f aca="false">D15+E15</f>
        <v>180</v>
      </c>
      <c r="G15" s="17" t="s">
        <v>86</v>
      </c>
    </row>
    <row r="16" customFormat="false" ht="31.5" hidden="false" customHeight="true" outlineLevel="0" collapsed="false">
      <c r="A16" s="25" t="n">
        <v>2</v>
      </c>
      <c r="B16" s="26" t="s">
        <v>87</v>
      </c>
      <c r="C16" s="30" t="s">
        <v>88</v>
      </c>
      <c r="D16" s="27" t="n">
        <v>420</v>
      </c>
      <c r="E16" s="27" t="n">
        <v>0</v>
      </c>
      <c r="F16" s="44" t="n">
        <f aca="false">D16+E16</f>
        <v>420</v>
      </c>
      <c r="G16" s="30" t="s">
        <v>89</v>
      </c>
    </row>
    <row r="17" customFormat="false" ht="18" hidden="false" customHeight="true" outlineLevel="0" collapsed="false">
      <c r="A17" s="18" t="s">
        <v>15</v>
      </c>
      <c r="B17" s="18"/>
      <c r="C17" s="18"/>
      <c r="D17" s="18"/>
      <c r="E17" s="18"/>
      <c r="F17" s="18"/>
      <c r="G17" s="18"/>
    </row>
    <row r="18" customFormat="false" ht="31.5" hidden="false" customHeight="true" outlineLevel="0" collapsed="false">
      <c r="A18" s="12" t="n">
        <v>1</v>
      </c>
      <c r="B18" s="13" t="s">
        <v>90</v>
      </c>
      <c r="C18" s="17" t="s">
        <v>91</v>
      </c>
      <c r="D18" s="14" t="n">
        <v>45</v>
      </c>
      <c r="E18" s="14" t="n">
        <v>0</v>
      </c>
      <c r="F18" s="43" t="n">
        <f aca="false">D18+E18</f>
        <v>45</v>
      </c>
      <c r="G18" s="17" t="s">
        <v>92</v>
      </c>
    </row>
    <row r="19" customFormat="false" ht="31.5" hidden="false" customHeight="true" outlineLevel="0" collapsed="false">
      <c r="A19" s="25" t="n">
        <v>2</v>
      </c>
      <c r="B19" s="26" t="s">
        <v>93</v>
      </c>
      <c r="C19" s="30" t="s">
        <v>94</v>
      </c>
      <c r="D19" s="27" t="n">
        <v>95</v>
      </c>
      <c r="E19" s="27" t="n">
        <v>0</v>
      </c>
      <c r="F19" s="44" t="n">
        <f aca="false">D19+E19</f>
        <v>95</v>
      </c>
      <c r="G19" s="30" t="s">
        <v>95</v>
      </c>
    </row>
    <row r="20" customFormat="false" ht="31.5" hidden="false" customHeight="true" outlineLevel="0" collapsed="false">
      <c r="A20" s="12" t="n">
        <v>3</v>
      </c>
      <c r="B20" s="13" t="s">
        <v>96</v>
      </c>
      <c r="C20" s="17" t="s">
        <v>97</v>
      </c>
      <c r="D20" s="14" t="n">
        <v>28</v>
      </c>
      <c r="E20" s="14" t="n">
        <v>0</v>
      </c>
      <c r="F20" s="43" t="n">
        <f aca="false">D20+E20</f>
        <v>28</v>
      </c>
      <c r="G20" s="17" t="s">
        <v>98</v>
      </c>
    </row>
    <row r="21" customFormat="false" ht="31.5" hidden="false" customHeight="true" outlineLevel="0" collapsed="false">
      <c r="A21" s="25" t="n">
        <v>4</v>
      </c>
      <c r="B21" s="26" t="s">
        <v>99</v>
      </c>
      <c r="C21" s="30" t="s">
        <v>100</v>
      </c>
      <c r="D21" s="27" t="n">
        <v>180</v>
      </c>
      <c r="E21" s="27" t="n">
        <v>0</v>
      </c>
      <c r="F21" s="44" t="n">
        <f aca="false">D21+E21</f>
        <v>180</v>
      </c>
      <c r="G21" s="30" t="s">
        <v>101</v>
      </c>
    </row>
    <row r="22" customFormat="false" ht="31.5" hidden="false" customHeight="true" outlineLevel="0" collapsed="false">
      <c r="A22" s="12" t="n">
        <v>5</v>
      </c>
      <c r="B22" s="13" t="s">
        <v>102</v>
      </c>
      <c r="C22" s="17" t="s">
        <v>103</v>
      </c>
      <c r="D22" s="14" t="n">
        <v>680</v>
      </c>
      <c r="E22" s="14" t="n">
        <v>0</v>
      </c>
      <c r="F22" s="43" t="n">
        <f aca="false">D22+E22</f>
        <v>680</v>
      </c>
      <c r="G22" s="17" t="s">
        <v>104</v>
      </c>
    </row>
    <row r="23" customFormat="false" ht="31.5" hidden="false" customHeight="true" outlineLevel="0" collapsed="false">
      <c r="A23" s="25" t="n">
        <v>6</v>
      </c>
      <c r="B23" s="26" t="s">
        <v>105</v>
      </c>
      <c r="C23" s="30" t="s">
        <v>106</v>
      </c>
      <c r="D23" s="27" t="n">
        <v>85</v>
      </c>
      <c r="E23" s="27" t="n">
        <v>0</v>
      </c>
      <c r="F23" s="44" t="n">
        <f aca="false">D23+E23</f>
        <v>85</v>
      </c>
      <c r="G23" s="30" t="s">
        <v>107</v>
      </c>
    </row>
    <row r="24" customFormat="false" ht="31.5" hidden="false" customHeight="true" outlineLevel="0" collapsed="false">
      <c r="A24" s="12" t="n">
        <v>7</v>
      </c>
      <c r="B24" s="13" t="s">
        <v>108</v>
      </c>
      <c r="C24" s="17" t="s">
        <v>109</v>
      </c>
      <c r="D24" s="14" t="n">
        <v>35</v>
      </c>
      <c r="E24" s="14" t="n">
        <v>0</v>
      </c>
      <c r="F24" s="43" t="n">
        <f aca="false">D24+E24</f>
        <v>35</v>
      </c>
      <c r="G24" s="17" t="s">
        <v>110</v>
      </c>
    </row>
  </sheetData>
  <mergeCells count="4">
    <mergeCell ref="A1:G1"/>
    <mergeCell ref="A4:G4"/>
    <mergeCell ref="A14:G14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4" min="2" style="1" width="18"/>
    <col collapsed="false" customWidth="true" hidden="false" outlineLevel="0" max="5" min="5" style="1" width="40"/>
  </cols>
  <sheetData>
    <row r="1" customFormat="false" ht="25.5" hidden="false" customHeight="true" outlineLevel="0" collapsed="false">
      <c r="A1" s="42" t="s">
        <v>111</v>
      </c>
      <c r="B1" s="42"/>
      <c r="C1" s="42"/>
      <c r="D1" s="42"/>
      <c r="E1" s="42"/>
    </row>
    <row r="2" customFormat="false" ht="39.75" hidden="false" customHeight="true" outlineLevel="0" collapsed="false">
      <c r="A2" s="3" t="s">
        <v>112</v>
      </c>
      <c r="B2" s="3"/>
      <c r="C2" s="3"/>
      <c r="D2" s="3"/>
      <c r="E2" s="3"/>
    </row>
    <row r="4" customFormat="false" ht="19.5" hidden="false" customHeight="true" outlineLevel="0" collapsed="false">
      <c r="A4" s="18" t="s">
        <v>113</v>
      </c>
      <c r="B4" s="18"/>
      <c r="C4" s="18"/>
      <c r="D4" s="18"/>
      <c r="E4" s="18"/>
    </row>
    <row r="5" customFormat="false" ht="25.5" hidden="false" customHeight="true" outlineLevel="0" collapsed="false">
      <c r="A5" s="26" t="s">
        <v>114</v>
      </c>
      <c r="B5" s="45" t="n">
        <v>400</v>
      </c>
      <c r="E5" s="46" t="s">
        <v>115</v>
      </c>
    </row>
    <row r="6" customFormat="false" ht="25.5" hidden="false" customHeight="true" outlineLevel="0" collapsed="false">
      <c r="A6" s="26" t="s">
        <v>116</v>
      </c>
      <c r="B6" s="45" t="n">
        <v>100</v>
      </c>
      <c r="E6" s="46" t="s">
        <v>117</v>
      </c>
    </row>
    <row r="7" customFormat="false" ht="25.5" hidden="false" customHeight="true" outlineLevel="0" collapsed="false">
      <c r="A7" s="26" t="s">
        <v>118</v>
      </c>
      <c r="B7" s="45" t="n">
        <v>0</v>
      </c>
      <c r="E7" s="46" t="s">
        <v>119</v>
      </c>
    </row>
    <row r="8" customFormat="false" ht="25.5" hidden="false" customHeight="true" outlineLevel="0" collapsed="false">
      <c r="A8" s="26" t="s">
        <v>120</v>
      </c>
      <c r="B8" s="45" t="n">
        <v>3</v>
      </c>
      <c r="E8" s="46" t="s">
        <v>121</v>
      </c>
    </row>
    <row r="9" customFormat="false" ht="19.5" hidden="false" customHeight="true" outlineLevel="0" collapsed="false">
      <c r="A9" s="18" t="s">
        <v>122</v>
      </c>
      <c r="B9" s="18"/>
      <c r="C9" s="18"/>
      <c r="D9" s="18"/>
      <c r="E9" s="18"/>
    </row>
    <row r="10" customFormat="false" ht="25.5" hidden="false" customHeight="true" outlineLevel="0" collapsed="false">
      <c r="A10" s="26" t="s">
        <v>123</v>
      </c>
      <c r="B10" s="45" t="n">
        <v>420</v>
      </c>
      <c r="E10" s="46" t="s">
        <v>124</v>
      </c>
    </row>
    <row r="11" customFormat="false" ht="25.5" hidden="false" customHeight="true" outlineLevel="0" collapsed="false">
      <c r="A11" s="26" t="s">
        <v>125</v>
      </c>
      <c r="B11" s="45" t="n">
        <v>560</v>
      </c>
      <c r="E11" s="46" t="s">
        <v>126</v>
      </c>
    </row>
    <row r="12" customFormat="false" ht="25.5" hidden="false" customHeight="true" outlineLevel="0" collapsed="false">
      <c r="A12" s="26" t="s">
        <v>127</v>
      </c>
      <c r="B12" s="45" t="n">
        <v>520</v>
      </c>
      <c r="E12" s="46" t="s">
        <v>128</v>
      </c>
    </row>
    <row r="13" customFormat="false" ht="25.5" hidden="false" customHeight="true" outlineLevel="0" collapsed="false">
      <c r="A13" s="26" t="s">
        <v>129</v>
      </c>
      <c r="B13" s="47" t="n">
        <f aca="false">B5*B10</f>
        <v>168000</v>
      </c>
      <c r="E13" s="46" t="s">
        <v>130</v>
      </c>
    </row>
    <row r="14" customFormat="false" ht="25.5" hidden="false" customHeight="true" outlineLevel="0" collapsed="false">
      <c r="A14" s="26" t="s">
        <v>131</v>
      </c>
      <c r="B14" s="47" t="n">
        <f aca="false">B6*B11</f>
        <v>56000</v>
      </c>
      <c r="E14" s="46" t="s">
        <v>130</v>
      </c>
    </row>
    <row r="15" customFormat="false" ht="25.5" hidden="false" customHeight="true" outlineLevel="0" collapsed="false">
      <c r="A15" s="26" t="s">
        <v>132</v>
      </c>
      <c r="B15" s="47" t="n">
        <f aca="false">B7*B12</f>
        <v>0</v>
      </c>
      <c r="E15" s="46" t="s">
        <v>130</v>
      </c>
    </row>
    <row r="16" customFormat="false" ht="25.5" hidden="false" customHeight="true" outlineLevel="0" collapsed="false">
      <c r="A16" s="48" t="s">
        <v>133</v>
      </c>
      <c r="B16" s="49" t="n">
        <f aca="false">B13+B14+B15</f>
        <v>224000</v>
      </c>
      <c r="E16" s="50" t="s">
        <v>134</v>
      </c>
    </row>
    <row r="18" customFormat="false" ht="69.75" hidden="false" customHeight="true" outlineLevel="0" collapsed="false">
      <c r="A18" s="41" t="s">
        <v>135</v>
      </c>
      <c r="B18" s="41"/>
      <c r="C18" s="41"/>
      <c r="D18" s="41"/>
      <c r="E18" s="41"/>
    </row>
  </sheetData>
  <mergeCells count="5">
    <mergeCell ref="A1:E1"/>
    <mergeCell ref="A2:E2"/>
    <mergeCell ref="A4:E4"/>
    <mergeCell ref="A9:E9"/>
    <mergeCell ref="A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2026-04-06T10:15:21Z</dcterms:created>
  <dc:creator>openpyxl</dc:creator>
  <dc:description/>
  <dc:language>en-US</dc:language>
  <cp:lastModifiedBy/>
  <dcterms:modified xsi:type="dcterms:W3CDTF">2026-04-06T10:15:52Z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